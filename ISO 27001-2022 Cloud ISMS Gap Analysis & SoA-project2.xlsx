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550" windowHeight="6520" activeTab="3"/>
  </bookViews>
  <sheets>
    <sheet name="Gap Analysis" sheetId="1" r:id="rId1"/>
    <sheet name="Statement of Applicability" sheetId="6" r:id="rId2"/>
    <sheet name="Action Plan" sheetId="7" r:id="rId3"/>
    <sheet name="Dashboard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<sst xmlns="http://schemas.openxmlformats.org/spreadsheetml/2006/main" count="185" uniqueCount="111">
  <si>
    <t>Control ID</t>
  </si>
  <si>
    <t>ISO 27001 Requirement</t>
  </si>
  <si>
    <t>Cloud Security Area</t>
  </si>
  <si>
    <t>Current Status</t>
  </si>
  <si>
    <t>Gap Description</t>
  </si>
  <si>
    <t>Evidence</t>
  </si>
  <si>
    <t>Priority</t>
  </si>
  <si>
    <t>Recommended Action</t>
  </si>
  <si>
    <t>Owner</t>
  </si>
  <si>
    <t>Target Date</t>
  </si>
  <si>
    <t>A.5.15</t>
  </si>
  <si>
    <t>Access Control</t>
  </si>
  <si>
    <t>Identity and Access Management</t>
  </si>
  <si>
    <t>Partially Implemented</t>
  </si>
  <si>
    <t>Access permissions are not reviewed regularly</t>
  </si>
  <si>
    <t>IAM policy and access list</t>
  </si>
  <si>
    <t>High</t>
  </si>
  <si>
    <t>Establish quarterly access reviews and apply least privilege</t>
  </si>
  <si>
    <t>Cloud Security Team</t>
  </si>
  <si>
    <t>30/11/2026</t>
  </si>
  <si>
    <t>A.5.16</t>
  </si>
  <si>
    <t>Identity Management</t>
  </si>
  <si>
    <t>User Account Lifecycle</t>
  </si>
  <si>
    <t>Not Implemented</t>
  </si>
  <si>
    <t>Inactive accounts remain enabled after users leave</t>
  </si>
  <si>
    <t>User account list</t>
  </si>
  <si>
    <t>Critical</t>
  </si>
  <si>
    <t>Create a formal process to disable inactive and former-user accounts</t>
  </si>
  <si>
    <t>IT Administrator</t>
  </si>
  <si>
    <t>15/11/2026</t>
  </si>
  <si>
    <t>A.5.17</t>
  </si>
  <si>
    <t>Authentication Information</t>
  </si>
  <si>
    <t>Multi-Factor Authentication</t>
  </si>
  <si>
    <t>MFA is not enforced for all administrator accounts</t>
  </si>
  <si>
    <t>MFA configuration report</t>
  </si>
  <si>
    <t>Enforce MFA for every privileged and administrator account</t>
  </si>
  <si>
    <t>Cloud Administrator</t>
  </si>
  <si>
    <t>A.8.9</t>
  </si>
  <si>
    <t>Configuration Management</t>
  </si>
  <si>
    <t>Cloud Configuration</t>
  </si>
  <si>
    <t>Secure configuration baselines are not fully documented</t>
  </si>
  <si>
    <t>Cloud configuration snapshots</t>
  </si>
  <si>
    <t>Document and regularly review secure cloud configuration baselines</t>
  </si>
  <si>
    <t>15/12/2026</t>
  </si>
  <si>
    <t>A.8.13</t>
  </si>
  <si>
    <t>Information Backup</t>
  </si>
  <si>
    <t>Cloud Backup and Recovery</t>
  </si>
  <si>
    <t>Implemented</t>
  </si>
  <si>
    <t>Backups exist but restoration testing is not performed regularly</t>
  </si>
  <si>
    <t>Backup logs and recovery records</t>
  </si>
  <si>
    <t>Medium</t>
  </si>
  <si>
    <t>Schedule quarterly restoration tests and retain test evidence</t>
  </si>
  <si>
    <t>Backup Administrator</t>
  </si>
  <si>
    <t>31/12/2026</t>
  </si>
  <si>
    <t>Control Theme</t>
  </si>
  <si>
    <t>Applicable</t>
  </si>
  <si>
    <t>Justification</t>
  </si>
  <si>
    <t>Implementation Status</t>
  </si>
  <si>
    <t>Review Date</t>
  </si>
  <si>
    <t>Yes</t>
  </si>
  <si>
    <t>Required to protect cloud resources and restrict unauthorized access</t>
  </si>
  <si>
    <t>IAM policy and access review records</t>
  </si>
  <si>
    <t>Required to manage user accounts throughout their lifecycle</t>
  </si>
  <si>
    <t>User account inventory</t>
  </si>
  <si>
    <t>Required to protect privileged accounts through secure authentication</t>
  </si>
  <si>
    <t>Required to maintain secure and consistent cloud configurations</t>
  </si>
  <si>
    <t>Cloud configuration baseline</t>
  </si>
  <si>
    <t>Required to support recovery and availability of cloud information</t>
  </si>
  <si>
    <t>Backup logs and recovery test records</t>
  </si>
  <si>
    <t>Action ID</t>
  </si>
  <si>
    <t>Remediation Action</t>
  </si>
  <si>
    <t>Start Date</t>
  </si>
  <si>
    <t>Status</t>
  </si>
  <si>
    <t>Evidence Required</t>
  </si>
  <si>
    <t>Notes</t>
  </si>
  <si>
    <t>ACT-001</t>
  </si>
  <si>
    <t>In Progress</t>
  </si>
  <si>
    <t>Access review report and approved IAM roles</t>
  </si>
  <si>
    <t>Review all privileged accounts first</t>
  </si>
  <si>
    <t>ACT-002</t>
  </si>
  <si>
    <t>Not Started</t>
  </si>
  <si>
    <t>Account termination procedure and disabled-account report</t>
  </si>
  <si>
    <t>Prioritize accounts inactive for more than 90 days</t>
  </si>
  <si>
    <t>ACT-003</t>
  </si>
  <si>
    <t>MFA configuration report and screenshots</t>
  </si>
  <si>
    <t>Start with administrator accounts</t>
  </si>
  <si>
    <t>ACT-004</t>
  </si>
  <si>
    <t>Document and review secure cloud configuration baselines</t>
  </si>
  <si>
    <t>15/10/2026</t>
  </si>
  <si>
    <t>Approved configuration baseline and review records</t>
  </si>
  <si>
    <t>Include storage IAM logging and network settings</t>
  </si>
  <si>
    <t>ACT-005</t>
  </si>
  <si>
    <t>Schedule and document quarterly backup restoration tests</t>
  </si>
  <si>
    <t>Planned</t>
  </si>
  <si>
    <t>Recovery test results and backup logs</t>
  </si>
  <si>
    <t>Keep evidence for every restoration test</t>
  </si>
  <si>
    <t>ISO 27001:2022 Cloud ISMS Compliance Dashboard</t>
  </si>
  <si>
    <t>Gap Analysis Summary</t>
  </si>
  <si>
    <t>Value</t>
  </si>
  <si>
    <t>Implementation Summary</t>
  </si>
  <si>
    <t>Action Plan Summary</t>
  </si>
  <si>
    <t>Total Controls</t>
  </si>
  <si>
    <t>Total Actions</t>
  </si>
  <si>
    <t>Critical Priority</t>
  </si>
  <si>
    <t>High Priority</t>
  </si>
  <si>
    <t>Medium Priority</t>
  </si>
  <si>
    <t>Not Applicable</t>
  </si>
  <si>
    <t>Low Priority</t>
  </si>
  <si>
    <t>Compliance Rate</t>
  </si>
  <si>
    <t>Completed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</si>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</sst>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5"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Calibri"/>
      <charset val="134"/>
    </font>
    <font>
      <b/>
      <sz val="11"/>
      <color theme="1"/>
      <name val="Calibri"/>
      <charset val="134"/>
    </font>
    <font>
      <b/>
      <sz val="16"/>
      <color theme="0"/>
      <name val="Aptos"/>
      <charset val="134"/>
    </font>
    <font>
      <b/>
      <sz val="10"/>
      <color theme="1"/>
      <name val="Aptos"/>
      <charset val="134"/>
    </font>
    <font>
      <sz val="16"/>
      <color theme="1"/>
      <name val="Aptos"/>
      <charset val="134"/>
    </font>
    <font>
      <sz val="10"/>
      <color theme="1"/>
      <name val="Aptos"/>
      <charset val="134"/>
    </font>
    <font>
      <sz val="14"/>
      <color theme="1"/>
      <name val="Aptos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  <diagonal/>
    </border>
    <border>
      <left style="thin">
        <color auto="1"/>
      </left>
      <right style="thin">
        <color auto="1"/>
      </right>
      <top style="thin">
        <color rgb="FFCCD6E0"/>
      </top>
      <bottom style="thin">
        <color auto="1"/>
      </bottom>
      <diagonal/>
    </border>
    <border>
      <left/>
      <right style="thin">
        <color rgb="FFCCD6E0"/>
      </right>
      <top/>
      <bottom style="thin">
        <color rgb="FFCCD6E0"/>
      </bottom>
      <diagonal/>
    </border>
    <border>
      <left style="thin">
        <color rgb="FFCCD6E0"/>
      </left>
      <right style="thin">
        <color rgb="FFCCD6E0"/>
      </right>
      <top/>
      <bottom style="thin">
        <color rgb="FFCCD6E0"/>
      </bottom>
      <diagonal/>
    </border>
    <border>
      <left style="thin">
        <color rgb="FFCCD6E0"/>
      </left>
      <right/>
      <top/>
      <bottom style="thin">
        <color rgb="FFCCD6E0"/>
      </bottom>
      <diagonal/>
    </border>
    <border>
      <left/>
      <right style="thin">
        <color rgb="FFCCD6E0"/>
      </right>
      <top style="thin">
        <color rgb="FFCCD6E0"/>
      </top>
      <bottom style="thin">
        <color rgb="FFCCD6E0"/>
      </bottom>
      <diagonal/>
    </border>
    <border>
      <left style="thin">
        <color rgb="FFCCD6E0"/>
      </left>
      <right/>
      <top style="thin">
        <color rgb="FFCCD6E0"/>
      </top>
      <bottom style="thin">
        <color rgb="FFCCD6E0"/>
      </bottom>
      <diagonal/>
    </border>
    <border>
      <left/>
      <right style="thin">
        <color rgb="FFCCD6E0"/>
      </right>
      <top style="thin">
        <color rgb="FFCCD6E0"/>
      </top>
      <bottom/>
      <diagonal/>
    </border>
    <border>
      <left style="thin">
        <color rgb="FFCCD6E0"/>
      </left>
      <right style="thin">
        <color rgb="FFCCD6E0"/>
      </right>
      <top style="thin">
        <color rgb="FFCCD6E0"/>
      </top>
      <bottom/>
      <diagonal/>
    </border>
    <border>
      <left style="thin">
        <color rgb="FFCCD6E0"/>
      </left>
      <right/>
      <top style="thin">
        <color rgb="FFCCD6E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9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3" fillId="0" borderId="2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3" fillId="0" borderId="6" xfId="3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58" fontId="0" fillId="0" borderId="7" xfId="0" applyNumberForma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4" fillId="4" borderId="8" xfId="0" applyNumberFormat="1" applyFont="1" applyFill="1" applyBorder="1" applyAlignment="1">
      <alignment horizontal="center" vertical="center" wrapText="1"/>
    </xf>
    <xf numFmtId="0" fontId="5" fillId="5" borderId="8" xfId="0" applyNumberFormat="1" applyFont="1" applyFill="1" applyBorder="1" applyAlignment="1">
      <alignment horizontal="center" vertical="center" wrapText="1"/>
    </xf>
    <xf numFmtId="0" fontId="6" fillId="5" borderId="9" xfId="0" applyNumberFormat="1" applyFont="1" applyFill="1" applyBorder="1" applyAlignment="1">
      <alignment horizontal="center" vertical="center"/>
    </xf>
    <xf numFmtId="0" fontId="7" fillId="5" borderId="10" xfId="0" applyNumberFormat="1" applyFont="1" applyFill="1" applyBorder="1" applyAlignment="1">
      <alignment horizontal="center" vertical="center" wrapText="1"/>
    </xf>
    <xf numFmtId="178" fontId="7" fillId="5" borderId="11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6" fillId="5" borderId="7" xfId="0" applyNumberFormat="1" applyFont="1" applyFill="1" applyBorder="1" applyAlignment="1">
      <alignment horizontal="center" vertical="center"/>
    </xf>
    <xf numFmtId="0" fontId="7" fillId="5" borderId="13" xfId="0" applyNumberFormat="1" applyFont="1" applyFill="1" applyBorder="1" applyAlignment="1">
      <alignment horizontal="center" vertical="center" wrapText="1"/>
    </xf>
    <xf numFmtId="178" fontId="7" fillId="5" borderId="8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58" fontId="6" fillId="5" borderId="7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0" fontId="8" fillId="5" borderId="7" xfId="0" applyNumberFormat="1" applyFont="1" applyFill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 wrapText="1"/>
    </xf>
    <xf numFmtId="178" fontId="7" fillId="0" borderId="8" xfId="0" applyNumberFormat="1" applyFont="1" applyFill="1" applyBorder="1" applyAlignment="1">
      <alignment horizontal="center" vertical="center" wrapText="1"/>
    </xf>
    <xf numFmtId="0" fontId="7" fillId="0" borderId="14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5" borderId="7" xfId="0" applyNumberFormat="1" applyFont="1" applyFill="1" applyBorder="1" applyAlignment="1">
      <alignment horizontal="center" vertical="center" wrapText="1"/>
    </xf>
    <xf numFmtId="0" fontId="7" fillId="0" borderId="15" xfId="0" applyNumberFormat="1" applyFont="1" applyFill="1" applyBorder="1" applyAlignment="1">
      <alignment horizontal="center" vertical="center" wrapText="1"/>
    </xf>
    <xf numFmtId="178" fontId="7" fillId="0" borderId="16" xfId="0" applyNumberFormat="1" applyFont="1" applyFill="1" applyBorder="1" applyAlignment="1">
      <alignment horizontal="center" vertical="center" wrapText="1"/>
    </xf>
    <xf numFmtId="0" fontId="7" fillId="0" borderId="17" xfId="0" applyNumberFormat="1" applyFont="1" applyFill="1" applyBorder="1" applyAlignment="1">
      <alignment horizontal="center" vertical="center" wrapText="1"/>
    </xf>
    <xf numFmtId="0" fontId="0" fillId="0" borderId="7" xfId="0" applyFont="1" applyBorder="1"/>
    <xf numFmtId="0" fontId="0" fillId="5" borderId="7" xfId="0" applyFont="1" applyFill="1" applyBorder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font>
        <b val="1"/>
        <color rgb="FFC00000"/>
      </font>
      <fill>
        <patternFill patternType="solid">
          <bgColor rgb="FFFFC7CE"/>
        </patternFill>
      </fill>
    </dxf>
    <dxf>
      <font>
        <b val="1"/>
        <color rgb="FF7F3F00"/>
      </font>
      <fill>
        <patternFill patternType="solid">
          <bgColor rgb="FFF4B183"/>
        </patternFill>
      </fill>
    </dxf>
    <dxf>
      <font>
        <b val="1"/>
        <color rgb="FF7F6000"/>
      </font>
      <fill>
        <patternFill patternType="solid">
          <bgColor rgb="FFFFE699"/>
        </patternFill>
      </fill>
    </dxf>
    <dxf>
      <font>
        <b val="1"/>
        <color rgb="FF375623"/>
      </font>
      <fill>
        <patternFill patternType="solid">
          <bgColor rgb="FFC6E0B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375623"/>
      </font>
      <fill>
        <patternFill patternType="solid">
          <bgColor rgb="FFC6E0B4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37A29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BC4042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colors>
    <mruColors>
      <color rgb="00F37A29"/>
      <color rgb="00BC404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Implementation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Dashboard!$D$4:$D$7</c:f>
              <c:strCache>
                <c:ptCount val="4"/>
                <c:pt idx="0">
                  <c:v>Implemented</c:v>
                </c:pt>
                <c:pt idx="1">
                  <c:v>Partially Implemented</c:v>
                </c:pt>
                <c:pt idx="2">
                  <c:v>Not Implemented</c:v>
                </c:pt>
                <c:pt idx="3">
                  <c:v>Not Applicable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Action Plan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Dashboard!$G$5:$G$9</c:f>
              <c:strCache>
                <c:ptCount val="5"/>
                <c:pt idx="0">
                  <c:v>Not Started</c:v>
                </c:pt>
                <c:pt idx="1">
                  <c:v>Planned</c:v>
                </c:pt>
                <c:pt idx="2">
                  <c:v>In Progress</c:v>
                </c:pt>
                <c:pt idx="3">
                  <c:v>Completed</c:v>
                </c:pt>
                <c:pt idx="4">
                  <c:v>On Hold</c:v>
                </c:pt>
              </c:strCache>
            </c:strRef>
          </c:cat>
          <c:val>
            <c:numRef>
              <c:f>Dashboard!$H$5:$H$9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904842"/>
        <c:axId val="186543315"/>
      </c:barChart>
      <c:catAx>
        <c:axId val="379048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543315"/>
        <c:crosses val="autoZero"/>
        <c:auto val="1"/>
        <c:lblAlgn val="ctr"/>
        <c:lblOffset val="100"/>
        <c:noMultiLvlLbl val="0"/>
      </c:catAx>
      <c:valAx>
        <c:axId val="1865433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048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Risk Priority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Dashboard!$A$5:$A$8</c:f>
              <c:strCache>
                <c:ptCount val="4"/>
                <c:pt idx="0">
                  <c:v>Critical Priority</c:v>
                </c:pt>
                <c:pt idx="1">
                  <c:v>High Priority</c:v>
                </c:pt>
                <c:pt idx="2">
                  <c:v>Medium Priority</c:v>
                </c:pt>
                <c:pt idx="3">
                  <c:v>Low Priority</c:v>
                </c:pt>
              </c:strCache>
            </c:strRef>
          </c:cat>
          <c:val>
            <c:numRef>
              <c:f>Dashboard!$B$5:$B$8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4997888"/>
        <c:axId val="868650484"/>
      </c:barChart>
      <c:catAx>
        <c:axId val="604997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650484"/>
        <c:crosses val="autoZero"/>
        <c:auto val="1"/>
        <c:lblAlgn val="ctr"/>
        <c:lblOffset val="100"/>
        <c:noMultiLvlLbl val="0"/>
      </c:catAx>
      <c:valAx>
        <c:axId val="8686504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9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</xdr:colOff>
      <xdr:row>10</xdr:row>
      <xdr:rowOff>45720</xdr:rowOff>
    </xdr:from>
    <xdr:to>
      <xdr:col>3</xdr:col>
      <xdr:colOff>1102995</xdr:colOff>
      <xdr:row>22</xdr:row>
      <xdr:rowOff>58420</xdr:rowOff>
    </xdr:to>
    <xdr:graphicFrame>
      <xdr:nvGraphicFramePr>
        <xdr:cNvPr id="2" name="Chart 1"/>
        <xdr:cNvGraphicFramePr/>
      </xdr:nvGraphicFramePr>
      <xdr:xfrm>
        <a:off x="3810" y="1887220"/>
        <a:ext cx="4166235" cy="222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1581785</xdr:colOff>
      <xdr:row>10</xdr:row>
      <xdr:rowOff>73025</xdr:rowOff>
    </xdr:from>
    <xdr:to>
      <xdr:col>9</xdr:col>
      <xdr:colOff>287655</xdr:colOff>
      <xdr:row>22</xdr:row>
      <xdr:rowOff>22225</xdr:rowOff>
    </xdr:to>
    <xdr:graphicFrame>
      <xdr:nvGraphicFramePr>
        <xdr:cNvPr id="3" name="Chart 2"/>
        <xdr:cNvGraphicFramePr/>
      </xdr:nvGraphicFramePr>
      <xdr:xfrm>
        <a:off x="4648835" y="1914525"/>
        <a:ext cx="4516120" cy="215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567690</xdr:colOff>
      <xdr:row>10</xdr:row>
      <xdr:rowOff>52070</xdr:rowOff>
    </xdr:from>
    <xdr:to>
      <xdr:col>17</xdr:col>
      <xdr:colOff>356235</xdr:colOff>
      <xdr:row>22</xdr:row>
      <xdr:rowOff>15875</xdr:rowOff>
    </xdr:to>
    <xdr:graphicFrame>
      <xdr:nvGraphicFramePr>
        <xdr:cNvPr id="4" name="Chart 3"/>
        <xdr:cNvGraphicFramePr/>
      </xdr:nvGraphicFramePr>
      <xdr:xfrm>
        <a:off x="9444990" y="1893570"/>
        <a:ext cx="4665345" cy="2173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showGridLines="0" zoomScale="50" zoomScaleNormal="50" topLeftCell="C1" workbookViewId="0">
      <pane ySplit="1" topLeftCell="A2" activePane="bottomLeft" state="frozen"/>
      <selection/>
      <selection pane="bottomLeft" activeCell="F6" sqref="F6"/>
    </sheetView>
  </sheetViews>
  <sheetFormatPr defaultColWidth="9" defaultRowHeight="14.5"/>
  <cols>
    <col min="1" max="1" width="29.8454545454545" customWidth="1"/>
    <col min="2" max="2" width="39.9909090909091" customWidth="1"/>
    <col min="3" max="3" width="58.7909090909091" customWidth="1"/>
    <col min="4" max="4" width="49.9909090909091" customWidth="1"/>
    <col min="5" max="5" width="90.3" customWidth="1"/>
    <col min="6" max="6" width="52.4272727272727" customWidth="1"/>
    <col min="7" max="7" width="21.9727272727273" customWidth="1"/>
    <col min="8" max="8" width="97.7272727272727" customWidth="1"/>
    <col min="9" max="9" width="45" customWidth="1"/>
    <col min="10" max="10" width="41.6636363636364" customWidth="1"/>
    <col min="11" max="11" width="23" customWidth="1"/>
    <col min="12" max="13" width="15" customWidth="1"/>
  </cols>
  <sheetData>
    <row r="1" ht="34" customHeight="1" spans="1:1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/>
      <c r="L1" s="27"/>
      <c r="M1" s="27"/>
    </row>
    <row r="2" ht="24" customHeight="1" spans="1:13">
      <c r="A2" s="28" t="s">
        <v>10</v>
      </c>
      <c r="B2" s="28" t="s">
        <v>11</v>
      </c>
      <c r="C2" s="28" t="s">
        <v>12</v>
      </c>
      <c r="D2" s="28" t="s">
        <v>13</v>
      </c>
      <c r="E2" s="28" t="s">
        <v>14</v>
      </c>
      <c r="F2" s="28" t="s">
        <v>15</v>
      </c>
      <c r="G2" s="28" t="s">
        <v>16</v>
      </c>
      <c r="H2" s="28" t="s">
        <v>17</v>
      </c>
      <c r="I2" s="28" t="s">
        <v>18</v>
      </c>
      <c r="J2" s="28" t="s">
        <v>19</v>
      </c>
      <c r="K2" s="29"/>
      <c r="L2" s="30"/>
      <c r="M2" s="31"/>
    </row>
    <row r="3" ht="24" customHeight="1" spans="1:13">
      <c r="A3" s="32" t="s">
        <v>20</v>
      </c>
      <c r="B3" s="32" t="s">
        <v>21</v>
      </c>
      <c r="C3" s="32" t="s">
        <v>22</v>
      </c>
      <c r="D3" s="32" t="s">
        <v>23</v>
      </c>
      <c r="E3" s="32" t="s">
        <v>24</v>
      </c>
      <c r="F3" s="32" t="s">
        <v>25</v>
      </c>
      <c r="G3" s="32" t="s">
        <v>26</v>
      </c>
      <c r="H3" s="32" t="s">
        <v>27</v>
      </c>
      <c r="I3" s="32" t="s">
        <v>28</v>
      </c>
      <c r="J3" s="32" t="s">
        <v>29</v>
      </c>
      <c r="K3" s="33"/>
      <c r="L3" s="34"/>
      <c r="M3" s="35"/>
    </row>
    <row r="4" ht="24" customHeight="1" spans="1:13">
      <c r="A4" s="32" t="s">
        <v>30</v>
      </c>
      <c r="B4" s="32" t="s">
        <v>31</v>
      </c>
      <c r="C4" s="32" t="s">
        <v>32</v>
      </c>
      <c r="D4" s="32" t="s">
        <v>13</v>
      </c>
      <c r="E4" s="32" t="s">
        <v>33</v>
      </c>
      <c r="F4" s="32" t="s">
        <v>34</v>
      </c>
      <c r="G4" s="32" t="s">
        <v>26</v>
      </c>
      <c r="H4" s="32" t="s">
        <v>35</v>
      </c>
      <c r="I4" s="32" t="s">
        <v>36</v>
      </c>
      <c r="J4" s="36">
        <v>46306</v>
      </c>
      <c r="K4" s="33"/>
      <c r="L4" s="34"/>
      <c r="M4" s="35"/>
    </row>
    <row r="5" ht="24" customHeight="1" spans="1:13">
      <c r="A5" s="32" t="s">
        <v>37</v>
      </c>
      <c r="B5" s="32" t="s">
        <v>38</v>
      </c>
      <c r="C5" s="32" t="s">
        <v>39</v>
      </c>
      <c r="D5" s="32" t="s">
        <v>13</v>
      </c>
      <c r="E5" s="32" t="s">
        <v>40</v>
      </c>
      <c r="F5" s="32" t="s">
        <v>41</v>
      </c>
      <c r="G5" s="32" t="s">
        <v>16</v>
      </c>
      <c r="H5" s="32" t="s">
        <v>42</v>
      </c>
      <c r="I5" s="32" t="s">
        <v>18</v>
      </c>
      <c r="J5" s="32" t="s">
        <v>43</v>
      </c>
      <c r="K5" s="33"/>
      <c r="L5" s="34"/>
      <c r="M5" s="35"/>
    </row>
    <row r="6" ht="24" customHeight="1" spans="1:13">
      <c r="A6" s="32" t="s">
        <v>44</v>
      </c>
      <c r="B6" s="32" t="s">
        <v>45</v>
      </c>
      <c r="C6" s="32" t="s">
        <v>46</v>
      </c>
      <c r="D6" s="32" t="s">
        <v>47</v>
      </c>
      <c r="E6" s="32" t="s">
        <v>48</v>
      </c>
      <c r="F6" s="32" t="s">
        <v>49</v>
      </c>
      <c r="G6" s="32" t="s">
        <v>50</v>
      </c>
      <c r="H6" s="32" t="s">
        <v>51</v>
      </c>
      <c r="I6" s="32" t="s">
        <v>52</v>
      </c>
      <c r="J6" s="32" t="s">
        <v>53</v>
      </c>
      <c r="K6" s="33"/>
      <c r="L6" s="34"/>
      <c r="M6" s="35"/>
    </row>
    <row r="7" ht="24" customHeight="1" spans="1:13">
      <c r="A7" s="37"/>
      <c r="B7" s="37"/>
      <c r="C7" s="37"/>
      <c r="D7" s="37"/>
      <c r="E7" s="37"/>
      <c r="F7" s="38"/>
      <c r="G7" s="38"/>
      <c r="H7" s="37"/>
      <c r="I7" s="37"/>
      <c r="J7" s="37"/>
      <c r="K7" s="39"/>
      <c r="L7" s="40"/>
      <c r="M7" s="41"/>
    </row>
    <row r="8" ht="24" customHeight="1" spans="1:13">
      <c r="A8" s="42"/>
      <c r="B8" s="42"/>
      <c r="C8" s="42"/>
      <c r="D8" s="42"/>
      <c r="E8" s="42"/>
      <c r="F8" s="43"/>
      <c r="G8" s="43"/>
      <c r="H8" s="42"/>
      <c r="I8" s="42"/>
      <c r="J8" s="42"/>
      <c r="K8" s="39"/>
      <c r="L8" s="40"/>
      <c r="M8" s="41"/>
    </row>
    <row r="9" ht="24" customHeight="1" spans="1:13">
      <c r="A9" s="42"/>
      <c r="B9" s="42"/>
      <c r="C9" s="42"/>
      <c r="D9" s="42"/>
      <c r="E9" s="42"/>
      <c r="F9" s="43"/>
      <c r="G9" s="43"/>
      <c r="H9" s="42"/>
      <c r="I9" s="42"/>
      <c r="J9" s="42"/>
      <c r="K9" s="39"/>
      <c r="L9" s="40"/>
      <c r="M9" s="41"/>
    </row>
    <row r="10" ht="24" customHeight="1" spans="1:13">
      <c r="A10" s="42"/>
      <c r="B10" s="42"/>
      <c r="C10" s="42"/>
      <c r="D10" s="42"/>
      <c r="E10" s="42"/>
      <c r="F10" s="43"/>
      <c r="G10" s="43"/>
      <c r="H10" s="42"/>
      <c r="I10" s="42"/>
      <c r="J10" s="42"/>
      <c r="K10" s="39"/>
      <c r="L10" s="40"/>
      <c r="M10" s="41"/>
    </row>
    <row r="11" ht="24" customHeight="1" spans="1:13">
      <c r="A11" s="42"/>
      <c r="B11" s="42"/>
      <c r="C11" s="42"/>
      <c r="D11" s="42"/>
      <c r="E11" s="42"/>
      <c r="F11" s="43"/>
      <c r="G11" s="43"/>
      <c r="H11" s="42"/>
      <c r="I11" s="42"/>
      <c r="J11" s="42"/>
      <c r="K11" s="39"/>
      <c r="L11" s="40"/>
      <c r="M11" s="41"/>
    </row>
    <row r="12" ht="24" customHeight="1" spans="1:13">
      <c r="A12" s="42"/>
      <c r="B12" s="42"/>
      <c r="C12" s="42"/>
      <c r="D12" s="42"/>
      <c r="E12" s="42"/>
      <c r="F12" s="43"/>
      <c r="G12" s="43"/>
      <c r="H12" s="42"/>
      <c r="I12" s="42"/>
      <c r="J12" s="42"/>
      <c r="K12" s="39"/>
      <c r="L12" s="40"/>
      <c r="M12" s="41"/>
    </row>
    <row r="13" ht="24" customHeight="1" spans="1:13">
      <c r="A13" s="42"/>
      <c r="B13" s="42"/>
      <c r="C13" s="42"/>
      <c r="D13" s="42"/>
      <c r="E13" s="42"/>
      <c r="F13" s="43"/>
      <c r="G13" s="43"/>
      <c r="H13" s="42"/>
      <c r="I13" s="42"/>
      <c r="J13" s="42"/>
      <c r="K13" s="44"/>
      <c r="L13" s="45"/>
      <c r="M13" s="46"/>
    </row>
    <row r="14" spans="1:13">
      <c r="A14" s="47"/>
      <c r="B14" s="47"/>
      <c r="C14" s="47"/>
      <c r="D14" s="47"/>
      <c r="E14" s="47"/>
      <c r="F14" s="47"/>
      <c r="G14" s="48"/>
      <c r="H14" s="47"/>
      <c r="I14" s="47"/>
      <c r="J14" s="47"/>
      <c r="K14" s="49"/>
      <c r="L14" s="49"/>
      <c r="M14" s="49"/>
    </row>
    <row r="15" spans="1:13">
      <c r="A15" s="25"/>
      <c r="B15" s="25"/>
      <c r="C15" s="25"/>
      <c r="D15" s="25"/>
      <c r="E15" s="25"/>
      <c r="F15" s="25"/>
      <c r="G15" s="48"/>
      <c r="H15" s="25"/>
      <c r="I15" s="25"/>
      <c r="J15" s="25"/>
    </row>
    <row r="16" spans="1:13">
      <c r="A16" s="25"/>
      <c r="B16" s="25"/>
      <c r="C16" s="25"/>
      <c r="D16" s="25"/>
      <c r="E16" s="25"/>
      <c r="F16" s="25"/>
      <c r="G16" s="48"/>
      <c r="H16" s="25"/>
      <c r="I16" s="25"/>
      <c r="J16" s="25"/>
    </row>
    <row r="17" spans="1:10">
      <c r="A17" s="25"/>
      <c r="B17" s="25"/>
      <c r="C17" s="25"/>
      <c r="D17" s="25"/>
      <c r="E17" s="25"/>
      <c r="F17" s="25"/>
      <c r="G17" s="48"/>
      <c r="H17" s="25"/>
      <c r="I17" s="25"/>
      <c r="J17" s="25"/>
    </row>
    <row r="18" spans="1:10">
      <c r="A18" s="25"/>
      <c r="B18" s="25"/>
      <c r="C18" s="25"/>
      <c r="D18" s="25"/>
      <c r="E18" s="25"/>
      <c r="F18" s="25"/>
      <c r="G18" s="48"/>
      <c r="H18" s="25"/>
      <c r="I18" s="25"/>
      <c r="J18" s="25"/>
    </row>
    <row r="19" spans="1:10">
      <c r="A19" s="25"/>
      <c r="B19" s="25"/>
      <c r="C19" s="25"/>
      <c r="D19" s="25"/>
      <c r="E19" s="25"/>
      <c r="F19" s="25"/>
      <c r="G19" s="48"/>
      <c r="H19" s="25"/>
      <c r="I19" s="25"/>
      <c r="J19" s="25"/>
    </row>
    <row r="20" spans="1:10">
      <c r="A20" s="25"/>
      <c r="B20" s="25"/>
      <c r="C20" s="25"/>
      <c r="D20" s="25"/>
      <c r="E20" s="25"/>
      <c r="F20" s="25"/>
      <c r="G20" s="48"/>
      <c r="H20" s="25"/>
      <c r="I20" s="25"/>
      <c r="J20" s="25"/>
    </row>
    <row r="21" spans="1:10">
      <c r="A21" s="25"/>
      <c r="B21" s="25"/>
      <c r="C21" s="25"/>
      <c r="D21" s="25"/>
      <c r="E21" s="25"/>
      <c r="F21" s="25"/>
      <c r="G21" s="48"/>
      <c r="H21" s="25"/>
      <c r="I21" s="25"/>
      <c r="J21" s="25"/>
    </row>
    <row r="22" spans="1:10">
      <c r="A22" s="25"/>
      <c r="B22" s="25"/>
      <c r="C22" s="25"/>
      <c r="D22" s="25"/>
      <c r="E22" s="25"/>
      <c r="F22" s="25"/>
      <c r="G22" s="48"/>
      <c r="H22" s="25"/>
      <c r="I22" s="25"/>
      <c r="J22" s="25"/>
    </row>
    <row r="23" spans="1:10">
      <c r="A23" s="25"/>
      <c r="B23" s="25"/>
      <c r="C23" s="25"/>
      <c r="D23" s="25"/>
      <c r="E23" s="25"/>
      <c r="F23" s="25"/>
      <c r="G23" s="48"/>
      <c r="H23" s="25"/>
      <c r="I23" s="25"/>
      <c r="J23" s="25"/>
    </row>
    <row r="24" spans="1:10">
      <c r="A24" s="25"/>
      <c r="B24" s="25"/>
      <c r="C24" s="25"/>
      <c r="D24" s="25"/>
      <c r="E24" s="25"/>
      <c r="F24" s="25"/>
      <c r="G24" s="48"/>
      <c r="H24" s="25"/>
      <c r="I24" s="25"/>
      <c r="J24" s="25"/>
    </row>
    <row r="25" spans="1:10">
      <c r="A25" s="25"/>
      <c r="B25" s="25"/>
      <c r="C25" s="25"/>
      <c r="D25" s="25"/>
      <c r="E25" s="25"/>
      <c r="F25" s="25"/>
      <c r="G25" s="48"/>
      <c r="H25" s="25"/>
      <c r="I25" s="25"/>
      <c r="J25" s="25"/>
    </row>
    <row r="26" spans="1:10">
      <c r="A26" s="25"/>
      <c r="B26" s="25"/>
      <c r="C26" s="25"/>
      <c r="D26" s="25"/>
      <c r="E26" s="25"/>
      <c r="F26" s="25"/>
      <c r="G26" s="48"/>
      <c r="H26" s="25"/>
      <c r="I26" s="25"/>
      <c r="J26" s="25"/>
    </row>
    <row r="27" spans="1:10">
      <c r="A27" s="25"/>
      <c r="B27" s="25"/>
      <c r="C27" s="25"/>
      <c r="D27" s="25"/>
      <c r="E27" s="25"/>
      <c r="F27" s="25"/>
      <c r="G27" s="48"/>
      <c r="H27" s="25"/>
      <c r="I27" s="25"/>
      <c r="J27" s="25"/>
    </row>
    <row r="28" spans="1:10">
      <c r="A28" s="25"/>
      <c r="B28" s="25"/>
      <c r="C28" s="25"/>
      <c r="D28" s="25"/>
      <c r="E28" s="25"/>
      <c r="F28" s="25"/>
      <c r="G28" s="48"/>
      <c r="H28" s="25"/>
      <c r="I28" s="25"/>
      <c r="J28" s="25"/>
    </row>
    <row r="29" spans="1:10">
      <c r="A29" s="25"/>
      <c r="B29" s="25"/>
      <c r="C29" s="25"/>
      <c r="D29" s="25"/>
      <c r="E29" s="25"/>
      <c r="F29" s="25"/>
      <c r="G29" s="48"/>
      <c r="H29" s="25"/>
      <c r="I29" s="25"/>
      <c r="J29" s="25"/>
    </row>
    <row r="30" spans="1:10">
      <c r="A30" s="25"/>
      <c r="B30" s="25"/>
      <c r="C30" s="25"/>
      <c r="D30" s="25"/>
      <c r="E30" s="25"/>
      <c r="F30" s="25"/>
      <c r="G30" s="48"/>
      <c r="H30" s="25"/>
      <c r="I30" s="25"/>
      <c r="J30" s="25"/>
    </row>
    <row r="31" spans="1:10">
      <c r="A31" s="25"/>
      <c r="B31" s="25"/>
      <c r="C31" s="25"/>
      <c r="D31" s="25"/>
      <c r="E31" s="25"/>
      <c r="F31" s="25"/>
      <c r="G31" s="48"/>
      <c r="H31" s="25"/>
      <c r="I31" s="25"/>
      <c r="J31" s="25"/>
    </row>
    <row r="32" spans="1:10">
      <c r="A32" s="25"/>
      <c r="B32" s="25"/>
      <c r="C32" s="25"/>
      <c r="D32" s="25"/>
      <c r="E32" s="25"/>
      <c r="F32" s="25"/>
      <c r="G32" s="48"/>
      <c r="H32" s="25"/>
      <c r="I32" s="25"/>
      <c r="J32" s="25"/>
    </row>
    <row r="33" spans="1:10">
      <c r="A33" s="25"/>
      <c r="B33" s="25"/>
      <c r="C33" s="25"/>
      <c r="D33" s="25"/>
      <c r="E33" s="25"/>
      <c r="F33" s="25"/>
      <c r="G33" s="48"/>
      <c r="H33" s="25"/>
      <c r="I33" s="25"/>
      <c r="J33" s="25"/>
    </row>
    <row r="34" spans="1:10">
      <c r="A34" s="25"/>
      <c r="B34" s="25"/>
      <c r="C34" s="25"/>
      <c r="D34" s="25"/>
      <c r="E34" s="25"/>
      <c r="F34" s="25"/>
      <c r="G34" s="48"/>
      <c r="H34" s="25"/>
      <c r="I34" s="25"/>
      <c r="J34" s="25"/>
    </row>
    <row r="35" spans="1:10">
      <c r="A35" s="25"/>
      <c r="B35" s="25"/>
      <c r="C35" s="25"/>
      <c r="D35" s="25"/>
      <c r="E35" s="25"/>
      <c r="F35" s="25"/>
      <c r="G35" s="48"/>
      <c r="H35" s="25"/>
      <c r="I35" s="25"/>
      <c r="J35" s="25"/>
    </row>
    <row r="36" spans="1:10">
      <c r="A36" s="25"/>
      <c r="B36" s="25"/>
      <c r="C36" s="25"/>
      <c r="D36" s="25"/>
      <c r="E36" s="25"/>
      <c r="F36" s="25"/>
      <c r="G36" s="48"/>
      <c r="H36" s="25"/>
      <c r="I36" s="25"/>
      <c r="J36" s="25"/>
    </row>
    <row r="37" spans="1:10">
      <c r="A37" s="25"/>
      <c r="B37" s="25"/>
      <c r="C37" s="25"/>
      <c r="D37" s="25"/>
      <c r="E37" s="25"/>
      <c r="F37" s="25"/>
      <c r="G37" s="48"/>
      <c r="H37" s="25"/>
      <c r="I37" s="25"/>
      <c r="J37" s="25"/>
    </row>
    <row r="38" spans="1:10">
      <c r="A38" s="25"/>
      <c r="B38" s="25"/>
      <c r="C38" s="25"/>
      <c r="D38" s="25"/>
      <c r="E38" s="25"/>
      <c r="F38" s="25"/>
      <c r="G38" s="48"/>
      <c r="H38" s="25"/>
      <c r="I38" s="25"/>
      <c r="J38" s="25"/>
    </row>
    <row r="39" spans="1:10">
      <c r="A39" s="25"/>
      <c r="B39" s="25"/>
      <c r="C39" s="25"/>
      <c r="D39" s="25"/>
      <c r="E39" s="25"/>
      <c r="F39" s="25"/>
      <c r="G39" s="48"/>
      <c r="H39" s="25"/>
      <c r="I39" s="25"/>
      <c r="J39" s="25"/>
    </row>
    <row r="40" spans="1:10">
      <c r="A40" s="25"/>
      <c r="B40" s="25"/>
      <c r="C40" s="25"/>
      <c r="D40" s="25"/>
      <c r="E40" s="25"/>
      <c r="F40" s="25"/>
      <c r="G40" s="48"/>
      <c r="H40" s="25"/>
      <c r="I40" s="25"/>
      <c r="J40" s="25"/>
    </row>
    <row r="41" spans="1:10">
      <c r="A41" s="25"/>
      <c r="B41" s="25"/>
      <c r="C41" s="25"/>
      <c r="D41" s="25"/>
      <c r="E41" s="25"/>
      <c r="F41" s="25"/>
      <c r="G41" s="48"/>
      <c r="H41" s="25"/>
      <c r="I41" s="25"/>
      <c r="J41" s="25"/>
    </row>
    <row r="42" spans="1:10">
      <c r="A42" s="25"/>
      <c r="B42" s="25"/>
      <c r="C42" s="25"/>
      <c r="D42" s="25"/>
      <c r="E42" s="25"/>
      <c r="F42" s="25"/>
      <c r="G42" s="48"/>
      <c r="H42" s="25"/>
      <c r="I42" s="25"/>
      <c r="J42" s="25"/>
    </row>
    <row r="43" spans="1:10">
      <c r="A43" s="25"/>
      <c r="B43" s="25"/>
      <c r="C43" s="25"/>
      <c r="D43" s="25"/>
      <c r="E43" s="25"/>
      <c r="F43" s="25"/>
      <c r="G43" s="48"/>
      <c r="H43" s="25"/>
      <c r="I43" s="25"/>
      <c r="J43" s="25"/>
    </row>
    <row r="44" spans="1:10">
      <c r="A44" s="25"/>
      <c r="B44" s="25"/>
      <c r="C44" s="25"/>
      <c r="D44" s="25"/>
      <c r="E44" s="25"/>
      <c r="F44" s="25"/>
      <c r="G44" s="48"/>
      <c r="H44" s="25"/>
      <c r="I44" s="25"/>
      <c r="J44" s="25"/>
    </row>
    <row r="45" spans="1:10">
      <c r="A45" s="25"/>
      <c r="B45" s="25"/>
      <c r="C45" s="25"/>
      <c r="D45" s="25"/>
      <c r="E45" s="25"/>
      <c r="F45" s="25"/>
      <c r="G45" s="48"/>
      <c r="H45" s="25"/>
      <c r="I45" s="25"/>
      <c r="J45" s="25"/>
    </row>
    <row r="46" spans="1:10">
      <c r="A46" s="25"/>
      <c r="B46" s="25"/>
      <c r="C46" s="25"/>
      <c r="D46" s="25"/>
      <c r="E46" s="25"/>
      <c r="F46" s="25"/>
      <c r="G46" s="48"/>
      <c r="H46" s="25"/>
      <c r="I46" s="25"/>
      <c r="J46" s="25"/>
    </row>
    <row r="47" spans="1:10">
      <c r="A47" s="25"/>
      <c r="B47" s="25"/>
      <c r="C47" s="25"/>
      <c r="D47" s="25"/>
      <c r="E47" s="25"/>
      <c r="F47" s="25"/>
      <c r="G47" s="48"/>
      <c r="H47" s="25"/>
      <c r="I47" s="25"/>
      <c r="J47" s="25"/>
    </row>
    <row r="48" spans="1:10">
      <c r="A48" s="25"/>
      <c r="B48" s="25"/>
      <c r="C48" s="25"/>
      <c r="D48" s="25"/>
      <c r="E48" s="25"/>
      <c r="F48" s="25"/>
      <c r="G48" s="48"/>
      <c r="H48" s="25"/>
      <c r="I48" s="25"/>
      <c r="J48" s="25"/>
    </row>
    <row r="49" spans="1:10">
      <c r="A49" s="25"/>
      <c r="B49" s="25"/>
      <c r="C49" s="25"/>
      <c r="D49" s="25"/>
      <c r="E49" s="25"/>
      <c r="F49" s="25"/>
      <c r="G49" s="48"/>
      <c r="H49" s="25"/>
      <c r="I49" s="25"/>
      <c r="J49" s="25"/>
    </row>
    <row r="50" spans="1:10">
      <c r="A50" s="25"/>
      <c r="B50" s="25"/>
      <c r="C50" s="25"/>
      <c r="D50" s="25"/>
      <c r="E50" s="25"/>
      <c r="F50" s="25"/>
      <c r="G50" s="48"/>
      <c r="H50" s="25"/>
      <c r="I50" s="25"/>
      <c r="J50" s="25"/>
    </row>
  </sheetData>
  <conditionalFormatting sqref="F2:F13">
    <cfRule type="containsText" dxfId="0" priority="11" operator="between" text="Critical">
      <formula>NOT(ISERROR(SEARCH("Critical",F2)))</formula>
    </cfRule>
    <cfRule type="containsText" dxfId="1" priority="12" operator="between" text="High">
      <formula>NOT(ISERROR(SEARCH("High",F2)))</formula>
    </cfRule>
    <cfRule type="containsText" dxfId="2" priority="13" operator="between" text="Medium">
      <formula>NOT(ISERROR(SEARCH("Medium",F2)))</formula>
    </cfRule>
    <cfRule type="containsText" dxfId="3" priority="14" operator="between" text="Low">
      <formula>NOT(ISERROR(SEARCH("Low",F2)))</formula>
    </cfRule>
  </conditionalFormatting>
  <conditionalFormatting sqref="G2:G50">
    <cfRule type="containsText" dxfId="4" priority="5" operator="between" text="Critical ">
      <formula>NOT(ISERROR(SEARCH("Critical ",G2)))</formula>
    </cfRule>
    <cfRule type="containsText" dxfId="4" priority="4" operator="between" text="Critical">
      <formula>NOT(ISERROR(SEARCH("Critical",G2)))</formula>
    </cfRule>
    <cfRule type="containsText" dxfId="5" priority="3" operator="between" text="High">
      <formula>NOT(ISERROR(SEARCH("High",G2)))</formula>
    </cfRule>
    <cfRule type="containsText" dxfId="6" priority="2" operator="between" text="Medium">
      <formula>NOT(ISERROR(SEARCH("Medium",G2)))</formula>
    </cfRule>
    <cfRule type="containsText" dxfId="7" priority="1" operator="between" text="Low">
      <formula>NOT(ISERROR(SEARCH("Low",G2)))</formula>
    </cfRule>
  </conditionalFormatting>
  <conditionalFormatting sqref="M2:M13">
    <cfRule type="containsText" dxfId="8" priority="15" operator="between" text="Medium">
      <formula>NOT(ISERROR(SEARCH("Medium",M2)))</formula>
    </cfRule>
    <cfRule type="containsText" dxfId="9" priority="16" operator="between" text="Low">
      <formula>NOT(ISERROR(SEARCH("Low",M2)))</formula>
    </cfRule>
  </conditionalFormatting>
  <dataValidations count="5">
    <dataValidation type="list" allowBlank="1" sqref="D2:D50">
      <formula1>"Implemented,Partially Implemented,Not Implemented,Not Applicable"</formula1>
    </dataValidation>
    <dataValidation type="whole" operator="between" sqref="E2:E13">
      <formula1>1</formula1>
      <formula2>5</formula2>
    </dataValidation>
    <dataValidation type="list" allowBlank="1" showInputMessage="1" showErrorMessage="1" sqref="G2:G50">
      <formula1>"Critical,High,Medium,Low"</formula1>
    </dataValidation>
    <dataValidation type="list" sqref="I2:I13">
      <formula1>"Open,In Progress,Closed"</formula1>
    </dataValidation>
    <dataValidation type="list" sqref="M2:M13">
      <formula1>"Low,Medium,High,Critical"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opLeftCell="B1" workbookViewId="0">
      <pane ySplit="1" topLeftCell="A4" activePane="bottomLeft" state="frozen"/>
      <selection/>
      <selection pane="bottomLeft" activeCell="E7" sqref="E7"/>
    </sheetView>
  </sheetViews>
  <sheetFormatPr defaultColWidth="8.72727272727273" defaultRowHeight="14.5" outlineLevelCol="7"/>
  <cols>
    <col min="2" max="2" width="26.8181818181818" customWidth="1"/>
    <col min="3" max="3" width="11.0909090909091" customWidth="1"/>
    <col min="4" max="4" width="28.6363636363636" customWidth="1"/>
    <col min="5" max="5" width="14.5454545454545" customWidth="1"/>
    <col min="6" max="6" width="31.2727272727273" customWidth="1"/>
    <col min="7" max="7" width="18.2727272727273" customWidth="1"/>
    <col min="8" max="8" width="22.2727272727273" customWidth="1"/>
  </cols>
  <sheetData>
    <row r="1" ht="29" spans="1:8">
      <c r="A1" s="23" t="s">
        <v>0</v>
      </c>
      <c r="B1" s="23" t="s">
        <v>54</v>
      </c>
      <c r="C1" s="23" t="s">
        <v>55</v>
      </c>
      <c r="D1" s="23" t="s">
        <v>56</v>
      </c>
      <c r="E1" s="23" t="s">
        <v>57</v>
      </c>
      <c r="F1" s="23" t="s">
        <v>5</v>
      </c>
      <c r="G1" s="23" t="s">
        <v>8</v>
      </c>
      <c r="H1" s="23" t="s">
        <v>58</v>
      </c>
    </row>
    <row r="2" ht="43.5" spans="1:8">
      <c r="A2" s="24" t="s">
        <v>10</v>
      </c>
      <c r="B2" s="24" t="s">
        <v>11</v>
      </c>
      <c r="C2" s="24" t="s">
        <v>59</v>
      </c>
      <c r="D2" s="24" t="s">
        <v>60</v>
      </c>
      <c r="E2" s="24" t="s">
        <v>13</v>
      </c>
      <c r="F2" s="24" t="s">
        <v>61</v>
      </c>
      <c r="G2" s="24" t="s">
        <v>18</v>
      </c>
      <c r="H2" s="24" t="s">
        <v>53</v>
      </c>
    </row>
    <row r="3" ht="43.5" spans="1:8">
      <c r="A3" s="24" t="s">
        <v>20</v>
      </c>
      <c r="B3" s="24" t="s">
        <v>21</v>
      </c>
      <c r="C3" s="24" t="s">
        <v>59</v>
      </c>
      <c r="D3" s="24" t="s">
        <v>62</v>
      </c>
      <c r="E3" s="24" t="s">
        <v>23</v>
      </c>
      <c r="F3" s="24" t="s">
        <v>63</v>
      </c>
      <c r="G3" s="24" t="s">
        <v>28</v>
      </c>
      <c r="H3" s="24" t="s">
        <v>53</v>
      </c>
    </row>
    <row r="4" ht="43.5" spans="1:8">
      <c r="A4" s="24" t="s">
        <v>30</v>
      </c>
      <c r="B4" s="24" t="s">
        <v>31</v>
      </c>
      <c r="C4" s="24" t="s">
        <v>59</v>
      </c>
      <c r="D4" s="24" t="s">
        <v>64</v>
      </c>
      <c r="E4" s="24" t="s">
        <v>13</v>
      </c>
      <c r="F4" s="24" t="s">
        <v>34</v>
      </c>
      <c r="G4" s="24" t="s">
        <v>36</v>
      </c>
      <c r="H4" s="24" t="s">
        <v>53</v>
      </c>
    </row>
    <row r="5" ht="29" spans="1:8">
      <c r="A5" s="24" t="s">
        <v>37</v>
      </c>
      <c r="B5" s="24" t="s">
        <v>38</v>
      </c>
      <c r="C5" s="24" t="s">
        <v>59</v>
      </c>
      <c r="D5" s="24" t="s">
        <v>65</v>
      </c>
      <c r="E5" s="24" t="s">
        <v>13</v>
      </c>
      <c r="F5" s="24" t="s">
        <v>66</v>
      </c>
      <c r="G5" s="24" t="s">
        <v>18</v>
      </c>
      <c r="H5" s="24" t="s">
        <v>53</v>
      </c>
    </row>
    <row r="6" ht="29" spans="1:8">
      <c r="A6" s="24" t="s">
        <v>44</v>
      </c>
      <c r="B6" s="24" t="s">
        <v>45</v>
      </c>
      <c r="C6" s="24" t="s">
        <v>59</v>
      </c>
      <c r="D6" s="24" t="s">
        <v>67</v>
      </c>
      <c r="E6" s="24" t="s">
        <v>47</v>
      </c>
      <c r="F6" s="24" t="s">
        <v>68</v>
      </c>
      <c r="G6" s="24" t="s">
        <v>52</v>
      </c>
      <c r="H6" s="24" t="s">
        <v>53</v>
      </c>
    </row>
    <row r="7" spans="1:8">
      <c r="B7" s="25"/>
      <c r="C7" s="25"/>
      <c r="D7" s="25"/>
      <c r="E7" s="25"/>
      <c r="F7" s="25"/>
      <c r="G7" s="25"/>
      <c r="H7" s="25"/>
    </row>
    <row r="8" spans="1:8">
      <c r="B8" s="25"/>
      <c r="C8" s="25"/>
      <c r="D8" s="25"/>
      <c r="E8" s="25"/>
      <c r="F8" s="25"/>
      <c r="G8" s="25"/>
      <c r="H8" s="25"/>
    </row>
    <row r="9" spans="1:8">
      <c r="B9" s="25"/>
      <c r="C9" s="25"/>
      <c r="D9" s="25"/>
      <c r="E9" s="25"/>
      <c r="F9" s="25"/>
      <c r="G9" s="25"/>
      <c r="H9" s="25"/>
    </row>
    <row r="10" spans="1:8">
      <c r="B10" s="25"/>
      <c r="C10" s="25"/>
      <c r="D10" s="25"/>
      <c r="E10" s="25"/>
      <c r="F10" s="25"/>
      <c r="G10" s="25"/>
      <c r="H10" s="25"/>
    </row>
    <row r="11" spans="1:8">
      <c r="B11" s="25"/>
      <c r="C11" s="25"/>
      <c r="D11" s="25"/>
      <c r="E11" s="25"/>
      <c r="F11" s="25"/>
      <c r="G11" s="25"/>
      <c r="H11" s="25"/>
    </row>
    <row r="12" spans="1:8">
      <c r="B12" s="25"/>
      <c r="C12" s="25"/>
      <c r="D12" s="25"/>
      <c r="E12" s="25"/>
      <c r="F12" s="25"/>
      <c r="G12" s="25"/>
      <c r="H12" s="25"/>
    </row>
    <row r="13" spans="1:8">
      <c r="B13" s="25"/>
      <c r="C13" s="25"/>
      <c r="D13" s="25"/>
      <c r="E13" s="25"/>
      <c r="F13" s="25"/>
      <c r="G13" s="25"/>
      <c r="H13" s="25"/>
    </row>
    <row r="14" spans="1:8">
      <c r="B14" s="25"/>
      <c r="C14" s="25"/>
      <c r="D14" s="25"/>
      <c r="E14" s="25"/>
      <c r="F14" s="25"/>
      <c r="G14" s="25"/>
      <c r="H14" s="25"/>
    </row>
    <row r="15" spans="1:8">
      <c r="B15" s="25"/>
      <c r="C15" s="25"/>
      <c r="D15" s="25"/>
      <c r="E15" s="25"/>
      <c r="F15" s="25"/>
      <c r="G15" s="25"/>
      <c r="H15" s="25"/>
    </row>
    <row r="16" spans="1:8">
      <c r="B16" s="25"/>
      <c r="C16" s="25"/>
      <c r="D16" s="25"/>
      <c r="E16" s="25"/>
      <c r="F16" s="25"/>
      <c r="G16" s="25"/>
      <c r="H16" s="25"/>
    </row>
    <row r="17" spans="2:8">
      <c r="B17" s="25"/>
      <c r="C17" s="25"/>
      <c r="D17" s="25"/>
      <c r="E17" s="25"/>
      <c r="F17" s="25"/>
      <c r="G17" s="25"/>
      <c r="H17" s="25"/>
    </row>
    <row r="18" spans="2:8">
      <c r="B18" s="25"/>
      <c r="C18" s="25"/>
      <c r="D18" s="25"/>
      <c r="E18" s="25"/>
      <c r="F18" s="25"/>
      <c r="G18" s="25"/>
      <c r="H18" s="25"/>
    </row>
    <row r="19" spans="2:8">
      <c r="B19" s="25"/>
      <c r="C19" s="25"/>
      <c r="D19" s="25"/>
      <c r="E19" s="25"/>
      <c r="F19" s="25"/>
      <c r="G19" s="25"/>
      <c r="H19" s="25"/>
    </row>
    <row r="20" spans="2:8">
      <c r="B20" s="25"/>
      <c r="C20" s="25"/>
      <c r="D20" s="25"/>
      <c r="E20" s="25"/>
      <c r="F20" s="25"/>
      <c r="G20" s="25"/>
      <c r="H20" s="25"/>
    </row>
    <row r="21" spans="2:8">
      <c r="B21" s="25"/>
      <c r="C21" s="25"/>
      <c r="D21" s="25"/>
      <c r="E21" s="25"/>
      <c r="F21" s="25"/>
      <c r="G21" s="25"/>
      <c r="H21" s="25"/>
    </row>
    <row r="22" spans="2:8">
      <c r="B22" s="25"/>
      <c r="C22" s="25"/>
      <c r="D22" s="25"/>
      <c r="E22" s="25"/>
      <c r="F22" s="25"/>
      <c r="G22" s="25"/>
      <c r="H22" s="25"/>
    </row>
    <row r="23" spans="2:8">
      <c r="B23" s="25"/>
      <c r="C23" s="25"/>
      <c r="D23" s="25"/>
      <c r="E23" s="25"/>
      <c r="F23" s="25"/>
      <c r="G23" s="25"/>
      <c r="H23" s="25"/>
    </row>
    <row r="24" spans="2:8">
      <c r="B24" s="25"/>
      <c r="C24" s="25"/>
      <c r="D24" s="25"/>
      <c r="E24" s="25"/>
      <c r="F24" s="25"/>
      <c r="G24" s="25"/>
      <c r="H24" s="25"/>
    </row>
    <row r="25" spans="2:8">
      <c r="B25" s="25"/>
      <c r="C25" s="25"/>
      <c r="D25" s="25"/>
      <c r="E25" s="25"/>
      <c r="F25" s="25"/>
      <c r="G25" s="25"/>
      <c r="H25" s="25"/>
    </row>
    <row r="26" spans="2:8">
      <c r="B26" s="25"/>
      <c r="C26" s="25"/>
      <c r="D26" s="25"/>
      <c r="E26" s="25"/>
      <c r="F26" s="25"/>
      <c r="G26" s="25"/>
      <c r="H26" s="25"/>
    </row>
    <row r="27" spans="2:8">
      <c r="B27" s="25"/>
      <c r="C27" s="25"/>
      <c r="D27" s="25"/>
      <c r="E27" s="25"/>
      <c r="F27" s="25"/>
      <c r="G27" s="25"/>
      <c r="H27" s="25"/>
    </row>
    <row r="28" spans="2:8">
      <c r="B28" s="25"/>
      <c r="C28" s="25"/>
      <c r="D28" s="25"/>
      <c r="E28" s="25"/>
      <c r="F28" s="25"/>
      <c r="G28" s="25"/>
      <c r="H28" s="25"/>
    </row>
    <row r="29" spans="2:8">
      <c r="B29" s="25"/>
      <c r="C29" s="25"/>
      <c r="D29" s="25"/>
      <c r="E29" s="25"/>
      <c r="F29" s="25"/>
      <c r="G29" s="25"/>
      <c r="H29" s="25"/>
    </row>
    <row r="30" spans="2:8">
      <c r="B30" s="25"/>
      <c r="C30" s="25"/>
      <c r="D30" s="25"/>
      <c r="E30" s="25"/>
      <c r="F30" s="25"/>
      <c r="G30" s="25"/>
      <c r="H30" s="25"/>
    </row>
    <row r="31" spans="2:8">
      <c r="B31" s="25"/>
      <c r="C31" s="25"/>
      <c r="D31" s="25"/>
      <c r="E31" s="25"/>
      <c r="F31" s="25"/>
      <c r="G31" s="25"/>
      <c r="H31" s="25"/>
    </row>
    <row r="32" spans="2:8">
      <c r="B32" s="25"/>
      <c r="C32" s="25"/>
      <c r="D32" s="25"/>
      <c r="E32" s="25"/>
      <c r="F32" s="25"/>
      <c r="G32" s="25"/>
      <c r="H32" s="25"/>
    </row>
    <row r="33" spans="2:8">
      <c r="B33" s="25"/>
      <c r="C33" s="25"/>
      <c r="D33" s="25"/>
      <c r="E33" s="25"/>
      <c r="F33" s="25"/>
      <c r="G33" s="25"/>
      <c r="H33" s="25"/>
    </row>
    <row r="34" spans="2:8">
      <c r="B34" s="25"/>
      <c r="C34" s="25"/>
      <c r="D34" s="25"/>
      <c r="E34" s="25"/>
      <c r="F34" s="25"/>
      <c r="G34" s="25"/>
      <c r="H34" s="25"/>
    </row>
    <row r="35" spans="2:8">
      <c r="B35" s="25"/>
      <c r="C35" s="25"/>
      <c r="D35" s="25"/>
      <c r="E35" s="25"/>
      <c r="F35" s="25"/>
      <c r="G35" s="25"/>
      <c r="H35" s="25"/>
    </row>
    <row r="36" spans="2:8">
      <c r="B36" s="25"/>
      <c r="C36" s="25"/>
      <c r="D36" s="25"/>
      <c r="E36" s="25"/>
      <c r="F36" s="25"/>
      <c r="G36" s="25"/>
      <c r="H36" s="25"/>
    </row>
    <row r="37" spans="2:8">
      <c r="B37" s="25"/>
      <c r="C37" s="25"/>
      <c r="D37" s="25"/>
      <c r="E37" s="25"/>
      <c r="F37" s="25"/>
      <c r="G37" s="25"/>
      <c r="H37" s="25"/>
    </row>
    <row r="38" spans="2:8">
      <c r="B38" s="25"/>
      <c r="C38" s="25"/>
      <c r="D38" s="25"/>
      <c r="E38" s="25"/>
      <c r="F38" s="25"/>
      <c r="G38" s="25"/>
      <c r="H38" s="25"/>
    </row>
    <row r="39" spans="2:8">
      <c r="B39" s="25"/>
      <c r="C39" s="25"/>
      <c r="D39" s="25"/>
      <c r="E39" s="25"/>
      <c r="F39" s="25"/>
      <c r="G39" s="25"/>
      <c r="H39" s="25"/>
    </row>
    <row r="40" spans="2:8">
      <c r="B40" s="25"/>
      <c r="C40" s="25"/>
      <c r="D40" s="25"/>
      <c r="E40" s="25"/>
      <c r="F40" s="25"/>
      <c r="G40" s="25"/>
      <c r="H40" s="25"/>
    </row>
    <row r="41" spans="2:8">
      <c r="B41" s="25"/>
      <c r="C41" s="25"/>
      <c r="D41" s="25"/>
      <c r="E41" s="25"/>
      <c r="F41" s="25"/>
      <c r="G41" s="25"/>
      <c r="H41" s="25"/>
    </row>
    <row r="42" spans="2:8">
      <c r="B42" s="25"/>
      <c r="C42" s="25"/>
      <c r="D42" s="25"/>
      <c r="E42" s="25"/>
      <c r="F42" s="25"/>
      <c r="G42" s="25"/>
      <c r="H42" s="25"/>
    </row>
    <row r="43" spans="2:8">
      <c r="B43" s="25"/>
      <c r="C43" s="25"/>
      <c r="D43" s="25"/>
      <c r="E43" s="25"/>
      <c r="F43" s="25"/>
      <c r="G43" s="25"/>
      <c r="H43" s="25"/>
    </row>
    <row r="44" spans="2:8">
      <c r="B44" s="25"/>
      <c r="C44" s="25"/>
      <c r="D44" s="25"/>
      <c r="E44" s="25"/>
      <c r="F44" s="25"/>
      <c r="G44" s="25"/>
      <c r="H44" s="25"/>
    </row>
    <row r="45" spans="2:8">
      <c r="B45" s="25"/>
      <c r="C45" s="25"/>
      <c r="D45" s="25"/>
      <c r="E45" s="25"/>
      <c r="F45" s="25"/>
      <c r="G45" s="25"/>
      <c r="H45" s="25"/>
    </row>
    <row r="46" spans="2:8">
      <c r="B46" s="25"/>
      <c r="C46" s="25"/>
      <c r="D46" s="25"/>
      <c r="E46" s="25"/>
      <c r="F46" s="25"/>
      <c r="G46" s="25"/>
      <c r="H46" s="25"/>
    </row>
    <row r="47" spans="2:8">
      <c r="B47" s="25"/>
      <c r="C47" s="25"/>
      <c r="D47" s="25"/>
      <c r="E47" s="25"/>
      <c r="F47" s="25"/>
      <c r="G47" s="25"/>
      <c r="H47" s="25"/>
    </row>
    <row r="48" spans="2:8">
      <c r="B48" s="25"/>
      <c r="C48" s="25"/>
      <c r="D48" s="25"/>
      <c r="E48" s="25"/>
      <c r="F48" s="25"/>
      <c r="G48" s="25"/>
      <c r="H48" s="25"/>
    </row>
    <row r="49" spans="2:8">
      <c r="B49" s="25"/>
      <c r="C49" s="25"/>
      <c r="D49" s="25"/>
      <c r="E49" s="25"/>
      <c r="F49" s="25"/>
      <c r="G49" s="25"/>
      <c r="H49" s="25"/>
    </row>
    <row r="50" spans="2:8">
      <c r="B50" s="25"/>
      <c r="C50" s="25"/>
      <c r="D50" s="25"/>
      <c r="E50" s="25"/>
      <c r="F50" s="25"/>
      <c r="G50" s="25"/>
      <c r="H50" s="25"/>
    </row>
  </sheetData>
  <conditionalFormatting sqref="E2:E50">
    <cfRule type="cellIs" dxfId="10" priority="4" operator="equal">
      <formula>"Implemented"</formula>
    </cfRule>
    <cfRule type="cellIs" dxfId="11" priority="3" operator="equal">
      <formula>"Partially Implemented"</formula>
    </cfRule>
    <cfRule type="cellIs" dxfId="12" priority="2" operator="equal">
      <formula>"Not Implemented"</formula>
    </cfRule>
    <cfRule type="cellIs" dxfId="13" priority="1" operator="equal">
      <formula>"Not Applicable"</formula>
    </cfRule>
  </conditionalFormatting>
  <dataValidations count="2">
    <dataValidation type="list" allowBlank="1" showInputMessage="1" showErrorMessage="1" sqref="C4:C50">
      <formula1>"Yes,No"</formula1>
    </dataValidation>
    <dataValidation type="list" showInputMessage="1" showErrorMessage="1" sqref="E2:E50">
      <formula1>"Implemented,Partially Implemented,Not Implemented,Not Applicable"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opLeftCell="C1" workbookViewId="0">
      <pane ySplit="1" topLeftCell="A4" activePane="bottomLeft" state="frozen"/>
      <selection/>
      <selection pane="bottomLeft" activeCell="G12" sqref="G12"/>
    </sheetView>
  </sheetViews>
  <sheetFormatPr defaultColWidth="8.72727272727273" defaultRowHeight="14.5"/>
  <cols>
    <col min="3" max="3" width="22.9090909090909" customWidth="1"/>
    <col min="6" max="6" width="21.5454545454545" customWidth="1"/>
    <col min="7" max="7" width="11.3636363636364"/>
    <col min="8" max="8" width="22.1818181818182" customWidth="1"/>
    <col min="9" max="9" width="28.6363636363636" customWidth="1"/>
    <col min="10" max="10" width="34.7272727272727" customWidth="1"/>
  </cols>
  <sheetData>
    <row r="1" ht="29" spans="1:10">
      <c r="A1" s="18" t="s">
        <v>69</v>
      </c>
      <c r="B1" s="18" t="s">
        <v>0</v>
      </c>
      <c r="C1" s="18" t="s">
        <v>70</v>
      </c>
      <c r="D1" s="18" t="s">
        <v>6</v>
      </c>
      <c r="E1" s="18" t="s">
        <v>8</v>
      </c>
      <c r="F1" s="18" t="s">
        <v>71</v>
      </c>
      <c r="G1" s="18" t="s">
        <v>9</v>
      </c>
      <c r="H1" s="18" t="s">
        <v>72</v>
      </c>
      <c r="I1" s="18" t="s">
        <v>73</v>
      </c>
      <c r="J1" s="18" t="s">
        <v>74</v>
      </c>
    </row>
    <row r="2" ht="43.5" spans="1:10">
      <c r="A2" s="19" t="s">
        <v>75</v>
      </c>
      <c r="B2" s="19" t="s">
        <v>10</v>
      </c>
      <c r="C2" s="19" t="s">
        <v>17</v>
      </c>
      <c r="D2" s="19" t="s">
        <v>16</v>
      </c>
      <c r="E2" s="19" t="s">
        <v>18</v>
      </c>
      <c r="F2" s="20">
        <v>46244</v>
      </c>
      <c r="G2" s="19" t="s">
        <v>19</v>
      </c>
      <c r="H2" s="19" t="s">
        <v>76</v>
      </c>
      <c r="I2" s="19" t="s">
        <v>77</v>
      </c>
      <c r="J2" s="19" t="s">
        <v>78</v>
      </c>
    </row>
    <row r="3" ht="43.5" spans="1:10">
      <c r="A3" s="19" t="s">
        <v>79</v>
      </c>
      <c r="B3" s="19" t="s">
        <v>20</v>
      </c>
      <c r="C3" s="19" t="s">
        <v>27</v>
      </c>
      <c r="D3" s="19" t="s">
        <v>26</v>
      </c>
      <c r="E3" s="19" t="s">
        <v>28</v>
      </c>
      <c r="F3" s="20">
        <v>46244</v>
      </c>
      <c r="G3" s="19" t="s">
        <v>29</v>
      </c>
      <c r="H3" s="19" t="s">
        <v>80</v>
      </c>
      <c r="I3" s="19" t="s">
        <v>81</v>
      </c>
      <c r="J3" s="19" t="s">
        <v>82</v>
      </c>
    </row>
    <row r="4" ht="43.5" spans="1:10">
      <c r="A4" s="19" t="s">
        <v>83</v>
      </c>
      <c r="B4" s="19" t="s">
        <v>30</v>
      </c>
      <c r="C4" s="19" t="s">
        <v>35</v>
      </c>
      <c r="D4" s="19" t="s">
        <v>26</v>
      </c>
      <c r="E4" s="19" t="s">
        <v>36</v>
      </c>
      <c r="F4" s="20">
        <v>46244</v>
      </c>
      <c r="G4" s="20">
        <v>46306</v>
      </c>
      <c r="H4" s="19" t="s">
        <v>76</v>
      </c>
      <c r="I4" s="19" t="s">
        <v>84</v>
      </c>
      <c r="J4" s="19" t="s">
        <v>85</v>
      </c>
    </row>
    <row r="5" ht="43.5" spans="1:10">
      <c r="A5" s="19" t="s">
        <v>86</v>
      </c>
      <c r="B5" s="19" t="s">
        <v>37</v>
      </c>
      <c r="C5" s="19" t="s">
        <v>87</v>
      </c>
      <c r="D5" s="19" t="s">
        <v>16</v>
      </c>
      <c r="E5" s="19" t="s">
        <v>18</v>
      </c>
      <c r="F5" s="19" t="s">
        <v>88</v>
      </c>
      <c r="G5" s="19" t="s">
        <v>43</v>
      </c>
      <c r="H5" s="19" t="s">
        <v>80</v>
      </c>
      <c r="I5" s="19" t="s">
        <v>89</v>
      </c>
      <c r="J5" s="19" t="s">
        <v>90</v>
      </c>
    </row>
    <row r="6" ht="43.5" spans="1:10">
      <c r="A6" s="19" t="s">
        <v>91</v>
      </c>
      <c r="B6" s="19" t="s">
        <v>44</v>
      </c>
      <c r="C6" s="19" t="s">
        <v>92</v>
      </c>
      <c r="D6" s="19" t="s">
        <v>50</v>
      </c>
      <c r="E6" s="19" t="s">
        <v>52</v>
      </c>
      <c r="F6" s="20">
        <v>46033</v>
      </c>
      <c r="G6" s="19" t="s">
        <v>53</v>
      </c>
      <c r="H6" s="19" t="s">
        <v>93</v>
      </c>
      <c r="I6" s="19" t="s">
        <v>94</v>
      </c>
      <c r="J6" s="19" t="s">
        <v>95</v>
      </c>
    </row>
    <row r="7" spans="1:10">
      <c r="A7" s="21"/>
      <c r="B7" s="21"/>
      <c r="C7" s="21"/>
      <c r="D7" s="22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21"/>
      <c r="B13" s="21"/>
      <c r="C13" s="21"/>
      <c r="D13" s="21"/>
      <c r="E13" s="21"/>
      <c r="F13" s="21"/>
      <c r="G13" s="21"/>
      <c r="H13" s="21"/>
      <c r="I13" s="21"/>
      <c r="J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>
      <c r="A50" s="21"/>
      <c r="B50" s="21"/>
      <c r="C50" s="21"/>
      <c r="D50" s="21"/>
      <c r="E50" s="21"/>
      <c r="F50" s="21"/>
      <c r="G50" s="21"/>
      <c r="H50" s="21"/>
      <c r="I50" s="21"/>
      <c r="J50" s="21"/>
    </row>
  </sheetData>
  <conditionalFormatting sqref="D2:D50">
    <cfRule type="cellIs" dxfId="14" priority="9" operator="equal">
      <formula>"Critical"</formula>
    </cfRule>
    <cfRule type="cellIs" dxfId="15" priority="8" operator="equal">
      <formula>"High"</formula>
    </cfRule>
    <cfRule type="cellIs" dxfId="16" priority="7" operator="equal">
      <formula>"Medium"</formula>
    </cfRule>
    <cfRule type="cellIs" dxfId="17" priority="6" operator="equal">
      <formula>"Low"</formula>
    </cfRule>
  </conditionalFormatting>
  <conditionalFormatting sqref="H2:H50">
    <cfRule type="cellIs" dxfId="18" priority="5" operator="equal">
      <formula>"Not Started"</formula>
    </cfRule>
    <cfRule type="cellIs" dxfId="19" priority="4" operator="equal">
      <formula>"Planned"</formula>
    </cfRule>
    <cfRule type="cellIs" dxfId="20" priority="3" operator="equal">
      <formula>"In Progress"</formula>
    </cfRule>
    <cfRule type="cellIs" dxfId="21" priority="2" operator="equal">
      <formula>"Completed"</formula>
    </cfRule>
    <cfRule type="cellIs" dxfId="22" priority="1" operator="equal">
      <formula>"On Hold"</formula>
    </cfRule>
  </conditionalFormatting>
  <dataValidations count="2">
    <dataValidation type="list" allowBlank="1" showInputMessage="1" showErrorMessage="1" sqref="D2:D50">
      <formula1>"Critical,High,Medium,Low"</formula1>
    </dataValidation>
    <dataValidation type="list" allowBlank="1" showInputMessage="1" showErrorMessage="1" sqref="H2:H50">
      <formula1>"Not Started,Planned,In Progress,Completed,On Hold"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70" zoomScaleNormal="70" workbookViewId="0">
      <selection activeCell="F28" sqref="F28"/>
    </sheetView>
  </sheetViews>
  <sheetFormatPr defaultColWidth="8.72727272727273" defaultRowHeight="14.5" outlineLevelCol="7"/>
  <cols>
    <col min="1" max="1" width="21.5454545454545" customWidth="1"/>
    <col min="2" max="2" width="13.6363636363636" customWidth="1"/>
    <col min="4" max="4" width="22.7272727272727" customWidth="1"/>
    <col min="5" max="5" width="12.4545454545455" customWidth="1"/>
    <col min="7" max="7" width="19.3636363636364" customWidth="1"/>
    <col min="8" max="8" width="11.1818181818182" customWidth="1"/>
  </cols>
  <sheetData>
    <row r="1" spans="1:8">
      <c r="A1" s="1" t="s">
        <v>96</v>
      </c>
      <c r="B1" s="2"/>
      <c r="C1" s="2"/>
      <c r="D1" s="2"/>
      <c r="E1" s="2"/>
      <c r="F1" s="2"/>
      <c r="G1" s="2"/>
      <c r="H1" s="2"/>
    </row>
    <row r="3" spans="1:8">
      <c r="A3" s="3" t="s">
        <v>97</v>
      </c>
      <c r="B3" s="4" t="s">
        <v>98</v>
      </c>
      <c r="D3" s="5" t="s">
        <v>99</v>
      </c>
      <c r="E3" s="6" t="s">
        <v>98</v>
      </c>
      <c r="G3" s="7" t="s">
        <v>100</v>
      </c>
      <c r="H3" s="8" t="s">
        <v>98</v>
      </c>
    </row>
    <row r="4" spans="1:8">
      <c r="A4" s="9" t="s">
        <v>101</v>
      </c>
      <c r="B4" s="10">
        <f>COUNTA('Gap Analysis'!A2:A50)</f>
        <v>5</v>
      </c>
      <c r="D4" s="9" t="s">
        <v>47</v>
      </c>
      <c r="E4" s="10">
        <f>COUNTIF('Statement of Applicability'!E2:E50,"Implemented")</f>
        <v>1</v>
      </c>
      <c r="G4" s="11" t="s">
        <v>102</v>
      </c>
      <c r="H4" s="12">
        <f>COUNTA('Action Plan'!A2:A50)</f>
        <v>5</v>
      </c>
    </row>
    <row r="5" spans="1:8">
      <c r="A5" s="9" t="s">
        <v>103</v>
      </c>
      <c r="B5" s="10">
        <f>COUNTIF('Gap Analysis'!G2:G50,"Critical")</f>
        <v>2</v>
      </c>
      <c r="D5" s="9" t="s">
        <v>13</v>
      </c>
      <c r="E5" s="10">
        <f>COUNTIF('Statement of Applicability'!E2:E50,"Partially Implemented")</f>
        <v>3</v>
      </c>
      <c r="G5" s="11" t="s">
        <v>80</v>
      </c>
      <c r="H5" s="12">
        <f>COUNTIF('Action Plan'!H2:H50,"Not Started")</f>
        <v>2</v>
      </c>
    </row>
    <row r="6" spans="1:8">
      <c r="A6" s="9" t="s">
        <v>104</v>
      </c>
      <c r="B6" s="10">
        <f>COUNTIF('Gap Analysis'!G2:G50,"High")</f>
        <v>2</v>
      </c>
      <c r="D6" s="9" t="s">
        <v>23</v>
      </c>
      <c r="E6" s="10">
        <f>COUNTIF('Statement of Applicability'!E2:E50,"Not Implemented")</f>
        <v>1</v>
      </c>
      <c r="G6" s="11" t="s">
        <v>93</v>
      </c>
      <c r="H6" s="12">
        <f>COUNTIF('Action Plan'!H2:H50,"Planned")</f>
        <v>1</v>
      </c>
    </row>
    <row r="7" spans="1:8">
      <c r="A7" s="9" t="s">
        <v>105</v>
      </c>
      <c r="B7" s="10">
        <f>COUNTIF('Gap Analysis'!G2:G50,"Medium")</f>
        <v>1</v>
      </c>
      <c r="D7" s="9" t="s">
        <v>106</v>
      </c>
      <c r="E7" s="10">
        <f>COUNTIF('Statement of Applicability'!E2:E50,"Not Applicable")</f>
        <v>0</v>
      </c>
      <c r="G7" s="11" t="s">
        <v>76</v>
      </c>
      <c r="H7" s="12">
        <f>COUNTIF('Action Plan'!H2:H50,"In Progress")</f>
        <v>2</v>
      </c>
    </row>
    <row r="8" spans="1:8">
      <c r="A8" s="13" t="s">
        <v>107</v>
      </c>
      <c r="B8" s="14">
        <f>COUNTIF('Gap Analysis'!G2:G50,"Low")</f>
        <v>0</v>
      </c>
      <c r="D8" s="13" t="s">
        <v>108</v>
      </c>
      <c r="E8" s="15">
        <f>IFERROR(E4/COUNTA('Statement of Applicability'!A2:A50),0)</f>
        <v>0.2</v>
      </c>
      <c r="G8" s="11" t="s">
        <v>109</v>
      </c>
      <c r="H8" s="12">
        <f>COUNTIF('Action Plan'!H2:H50,"Completed")</f>
        <v>0</v>
      </c>
    </row>
    <row r="9" spans="1:8">
      <c r="G9" s="16" t="s">
        <v>110</v>
      </c>
      <c r="H9" s="17">
        <f>COUNTIF('Action Plan'!H2:H50,"On Hold")</f>
        <v>0</v>
      </c>
    </row>
  </sheetData>
  <mergeCells count="1">
    <mergeCell ref="A1:H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Gap Analysis</vt:lpstr>
      <vt:lpstr>Statement of Applicability</vt:lpstr>
      <vt:lpstr>Action Plan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</cp:lastModifiedBy>
  <dcterms:created xsi:type="dcterms:W3CDTF">2026-09-08T17:37:00Z</dcterms:created>
  <dcterms:modified xsi:type="dcterms:W3CDTF">2026-10-08T18:14:48Z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6C70EC33BF504E5FA55C2269F9D21A72_13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